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假设" sheetId="1" r:id="rId1"/>
    <sheet name="明细" sheetId="2" r:id="rId2"/>
    <sheet name="汇总" sheetId="3" r:id="rId3"/>
    <sheet name="说明" sheetId="4" r:id="rId4"/>
  </sheets>
</workbook>
</file>

<file path=xl/sharedStrings.xml><?xml version="1.0" encoding="utf-8"?>
<sst xmlns="http://schemas.openxmlformats.org/spreadsheetml/2006/main" count="44" uniqueCount="44">
  <si>
    <t>项目</t>
  </si>
  <si>
    <t>值</t>
  </si>
  <si>
    <t>税率</t>
  </si>
  <si>
    <t>折扣率</t>
  </si>
  <si>
    <t>汇率</t>
  </si>
  <si>
    <t>单价基准（元）</t>
  </si>
  <si>
    <t>月份</t>
  </si>
  <si>
    <t>数量</t>
  </si>
  <si>
    <t>单价</t>
  </si>
  <si>
    <t>金额</t>
  </si>
  <si>
    <t>税额</t>
  </si>
  <si>
    <t>小计</t>
  </si>
  <si>
    <t>毛利率(示例)</t>
  </si>
  <si>
    <t>1月</t>
  </si>
  <si>
    <t>2月</t>
  </si>
  <si>
    <t>3月</t>
  </si>
  <si>
    <t>110</t>
  </si>
  <si>
    <t>4月</t>
  </si>
  <si>
    <t>5月</t>
  </si>
  <si>
    <t>6月</t>
  </si>
  <si>
    <t>7月</t>
  </si>
  <si>
    <t>8月</t>
  </si>
  <si>
    <t>9月</t>
  </si>
  <si>
    <t>10月</t>
  </si>
  <si>
    <t>11月</t>
  </si>
  <si>
    <t>见附注</t>
  </si>
  <si>
    <t>12月</t>
  </si>
  <si>
    <t>合计</t>
  </si>
  <si>
    <t>指标</t>
  </si>
  <si>
    <t>数值</t>
  </si>
  <si>
    <t>总数量</t>
  </si>
  <si>
    <t>总小计（关键指标）</t>
  </si>
  <si>
    <t>平均单价</t>
  </si>
  <si>
    <t>税负</t>
  </si>
  <si>
    <t>参考（勿删）</t>
  </si>
  <si>
    <t>季度成本预算模型 — 使用说明</t>
  </si>
  <si>
    <t>序号</t>
  </si>
  <si>
    <t>说明</t>
  </si>
  <si>
    <t>1</t>
  </si>
  <si>
    <t>税率与折扣率见"假设"表，改动后需要重新核对"汇总"表。</t>
  </si>
  <si>
    <t>参考区间</t>
  </si>
  <si>
    <t>1,200</t>
  </si>
  <si>
    <t>2</t>
  </si>
  <si>
    <t>年度基准单价区间为 1,200–1,500 元/件（仅供参考，不参与计算）。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</si>
</sst>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0.06</v>
      </c>
    </row>
    <row r="3">
      <c r="A3" t="s">
        <v>3</v>
      </c>
      <c r="B3">
        <v>0.05</v>
      </c>
    </row>
    <row r="4">
      <c r="A4" t="s">
        <v>4</v>
      </c>
      <c r="B4">
        <v>7.1</v>
      </c>
    </row>
    <row r="5">
      <c r="A5" t="s">
        <v>5</v>
      </c>
      <c r="B5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>
      <c r="A2" t="s">
        <v>13</v>
      </c>
      <c r="B2">
        <v>120</v>
      </c>
      <c r="C2">
        <v>15.5</v>
      </c>
      <c r="D2">
        <f t="shared" si="0" ref="D2:D13">B2*C2</f>
        <v>1860</v>
      </c>
      <c r="E2">
        <f t="shared" si="1" ref="E2:E13">D2*假设!$B$3</f>
        <v>93</v>
      </c>
      <c r="F2">
        <f t="shared" si="2" ref="F2:F13">D2+E2</f>
        <v>1953</v>
      </c>
    </row>
    <row r="3">
      <c r="A3" t="s">
        <v>14</v>
      </c>
      <c r="B3">
        <v>135</v>
      </c>
      <c r="C3">
        <v>16</v>
      </c>
      <c r="D3">
        <f t="shared" si="0"/>
        <v>2160</v>
      </c>
      <c r="E3">
        <f t="shared" si="1"/>
        <v>108</v>
      </c>
      <c r="F3">
        <f t="shared" si="2"/>
        <v>2268</v>
      </c>
    </row>
    <row r="4">
      <c r="A4" t="s">
        <v>15</v>
      </c>
      <c r="B4" t="s">
        <v>16</v>
      </c>
      <c r="C4">
        <v>15.8</v>
      </c>
      <c r="D4">
        <f t="shared" si="0"/>
        <v>1738</v>
      </c>
      <c r="E4">
        <f t="shared" si="1"/>
        <v>86.9</v>
      </c>
      <c r="F4">
        <f t="shared" si="2"/>
        <v>1824.9</v>
      </c>
    </row>
    <row r="5">
      <c r="A5" t="s">
        <v>17</v>
      </c>
      <c r="B5">
        <v>128</v>
      </c>
      <c r="C5">
        <v>16.2</v>
      </c>
      <c r="D5">
        <f t="shared" si="0"/>
        <v>2073.6</v>
      </c>
      <c r="E5">
        <f t="shared" si="1"/>
        <v>103.68</v>
      </c>
      <c r="F5">
        <f t="shared" si="2"/>
        <v>2177.28</v>
      </c>
      <c r="G5" t="e">
        <f>D5/(C5-C5)</f>
        <v>#DIV/0!</v>
      </c>
    </row>
    <row r="6">
      <c r="A6" t="s">
        <v>18</v>
      </c>
      <c r="B6">
        <v>140</v>
      </c>
      <c r="C6">
        <v>15.9</v>
      </c>
      <c r="D6">
        <f t="shared" si="0"/>
        <v>2226</v>
      </c>
      <c r="E6">
        <f t="shared" si="1"/>
        <v>111.3</v>
      </c>
      <c r="F6">
        <f t="shared" si="2"/>
        <v>2337.3</v>
      </c>
    </row>
    <row r="7">
      <c r="A7" t="s">
        <v>19</v>
      </c>
      <c r="B7">
        <v>150</v>
      </c>
      <c r="C7">
        <v>16.5</v>
      </c>
      <c r="D7">
        <f t="shared" si="0"/>
        <v>2475</v>
      </c>
      <c r="E7">
        <f t="shared" si="1"/>
        <v>123.75</v>
      </c>
      <c r="F7">
        <f>D7+E6</f>
        <v>2586.3</v>
      </c>
    </row>
    <row r="8">
      <c r="A8" t="s">
        <v>20</v>
      </c>
      <c r="B8">
        <v>132</v>
      </c>
      <c r="C8">
        <v>16.8</v>
      </c>
      <c r="D8">
        <f t="shared" si="0"/>
        <v>2217.6</v>
      </c>
      <c r="E8">
        <f t="shared" si="1"/>
        <v>110.88</v>
      </c>
      <c r="F8">
        <f t="shared" si="2"/>
        <v>2328.48</v>
      </c>
    </row>
    <row r="9">
      <c r="A9" t="s">
        <v>21</v>
      </c>
      <c r="B9">
        <v>145</v>
      </c>
      <c r="C9">
        <v>16.3</v>
      </c>
      <c r="D9">
        <v>2300</v>
      </c>
      <c r="E9">
        <f t="shared" si="1"/>
        <v>115</v>
      </c>
      <c r="F9">
        <f t="shared" si="2"/>
        <v>2415</v>
      </c>
    </row>
    <row r="10">
      <c r="A10" t="s">
        <v>22</v>
      </c>
      <c r="B10">
        <v>138</v>
      </c>
      <c r="C10">
        <v>16</v>
      </c>
      <c r="D10">
        <f t="shared" si="0"/>
        <v>2208</v>
      </c>
      <c r="E10">
        <f t="shared" si="1"/>
        <v>110.4</v>
      </c>
      <c r="F10">
        <f t="shared" si="2"/>
        <v>2318.4</v>
      </c>
    </row>
    <row r="11">
      <c r="A11" t="s">
        <v>23</v>
      </c>
      <c r="B11">
        <v>160</v>
      </c>
      <c r="C11">
        <v>17</v>
      </c>
      <c r="D11">
        <f t="shared" si="0"/>
        <v>2720</v>
      </c>
      <c r="E11">
        <f t="shared" si="1"/>
        <v>136</v>
      </c>
      <c r="F11">
        <f t="shared" si="2"/>
        <v>2856</v>
      </c>
    </row>
    <row r="12">
      <c r="A12" t="s">
        <v>24</v>
      </c>
      <c r="B12">
        <v>155</v>
      </c>
      <c r="C12">
        <v>16.9</v>
      </c>
      <c r="D12" t="s">
        <v>25</v>
      </c>
      <c r="E12">
        <f t="shared" si="1"/>
        <v>0</v>
      </c>
      <c r="F12">
        <f t="shared" si="2"/>
        <v>0</v>
      </c>
    </row>
    <row r="13">
      <c r="A13" t="s">
        <v>26</v>
      </c>
      <c r="B13">
        <v>148</v>
      </c>
      <c r="C13">
        <v>17.2</v>
      </c>
      <c r="D13">
        <f t="shared" si="0"/>
        <v>2545.6</v>
      </c>
      <c r="E13">
        <f t="shared" si="1"/>
        <v>127.28</v>
      </c>
      <c r="F13">
        <f t="shared" si="2"/>
        <v>2672.88</v>
      </c>
    </row>
    <row r="14">
      <c r="A14" t="s">
        <v>27</v>
      </c>
      <c r="B14">
        <f>SUM(B2:B12)</f>
        <v>1423</v>
      </c>
      <c r="D14">
        <f>SUM(D2:D13)</f>
        <v>24523.8</v>
      </c>
      <c r="E14">
        <f>SUM(E2:E13)</f>
        <v>1226.19</v>
      </c>
      <c r="F14">
        <f>SUM(F2:F13)</f>
        <v>25737.54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28</v>
      </c>
      <c r="B1" t="s">
        <v>29</v>
      </c>
    </row>
    <row r="2">
      <c r="A2" t="s">
        <v>30</v>
      </c>
      <c r="B2">
        <f>明细!B14</f>
        <v>1423</v>
      </c>
    </row>
    <row r="3">
      <c r="A3" t="s">
        <v>31</v>
      </c>
      <c r="B3">
        <f>明细!F14</f>
        <v>25737.54</v>
      </c>
    </row>
    <row r="4">
      <c r="A4" t="s">
        <v>32</v>
      </c>
      <c r="B4">
        <f>明细!D14/明细!B14</f>
        <v>17.23</v>
      </c>
    </row>
    <row r="5">
      <c r="A5" t="s">
        <v>33</v>
      </c>
      <c r="B5">
        <f>明细!E14/明细!D14</f>
        <v>0.05</v>
      </c>
    </row>
    <row r="6">
      <c r="A6" t="s">
        <v>34</v>
      </c>
      <c r="B6">
        <f>旧汇总!C4</f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35</v>
      </c>
    </row>
    <row r="2">
      <c r="A2" t="s">
        <v>36</v>
      </c>
      <c r="B2" t="s">
        <v>37</v>
      </c>
    </row>
    <row r="3">
      <c r="A3" t="s">
        <v>38</v>
      </c>
      <c r="B3" t="s">
        <v>39</v>
      </c>
    </row>
    <row r="4">
      <c r="A4" t="s">
        <v>40</v>
      </c>
      <c r="C4" t="s">
        <v>41</v>
      </c>
    </row>
    <row r="5">
      <c r="A5" t="s">
        <v>42</v>
      </c>
      <c r="B5" t="s">
        <v>43</v>
      </c>
    </row>
  </sheetData>
</worksheet>
</file>